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quena\Desktop\okrs\"/>
    </mc:Choice>
  </mc:AlternateContent>
  <xr:revisionPtr revIDLastSave="0" documentId="13_ncr:1_{625B865B-54A2-4351-AE83-F7DB031AF29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OKR Log" sheetId="6" r:id="rId1"/>
  </sheets>
  <definedNames>
    <definedName name="_xlnm.Print_Area" localSheetId="0">'OKR Log'!$E$2:$U$9</definedName>
    <definedName name="REASSESSMENT_D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6" l="1"/>
  <c r="O4" i="6"/>
  <c r="O6" i="6"/>
  <c r="G9" i="6"/>
  <c r="O9" i="6"/>
  <c r="O8" i="6"/>
  <c r="O7" i="6"/>
  <c r="G8" i="6"/>
  <c r="G7" i="6"/>
  <c r="G4" i="6"/>
  <c r="P6" i="6"/>
  <c r="G5" i="6"/>
  <c r="G6" i="6"/>
  <c r="P5" i="6" l="1"/>
  <c r="P7" i="6"/>
  <c r="P8" i="6"/>
  <c r="P9" i="6"/>
  <c r="P4" i="6"/>
  <c r="R4" i="6" s="1"/>
  <c r="R5" i="6" l="1"/>
  <c r="R6" i="6"/>
  <c r="R7" i="6"/>
  <c r="R8" i="6"/>
  <c r="R9" i="6"/>
</calcChain>
</file>

<file path=xl/sharedStrings.xml><?xml version="1.0" encoding="utf-8"?>
<sst xmlns="http://schemas.openxmlformats.org/spreadsheetml/2006/main" count="84" uniqueCount="54">
  <si>
    <t xml:space="preserve">CINEPLANET OKR </t>
  </si>
  <si>
    <t>Current Value / Target</t>
  </si>
  <si>
    <t>Auto-calculates</t>
  </si>
  <si>
    <t>Quarter / Year</t>
  </si>
  <si>
    <t>Pilar Estratégico</t>
  </si>
  <si>
    <t>Iniciativa Estratégica</t>
  </si>
  <si>
    <t>Objective</t>
  </si>
  <si>
    <t>Key Result ID</t>
  </si>
  <si>
    <t>Key Results</t>
  </si>
  <si>
    <t>Métrica</t>
  </si>
  <si>
    <t>Owner</t>
  </si>
  <si>
    <t>Baseline Value</t>
  </si>
  <si>
    <t>Target Value</t>
  </si>
  <si>
    <t>Current Value</t>
  </si>
  <si>
    <t>Progress</t>
  </si>
  <si>
    <t>Percent Progress</t>
  </si>
  <si>
    <t>Weight %</t>
  </si>
  <si>
    <t>Weighted Progress %</t>
  </si>
  <si>
    <t>Status</t>
  </si>
  <si>
    <t>Update Date</t>
  </si>
  <si>
    <t>Notes / Blockers</t>
  </si>
  <si>
    <t>Key Result 1 description</t>
  </si>
  <si>
    <t>Complete</t>
  </si>
  <si>
    <t>Crecimiento Rentable y Sostenible</t>
  </si>
  <si>
    <t>Delivery Fuera del Cine</t>
  </si>
  <si>
    <t>Superar los 2 millones en el 4Q, alcanzar los 7 millones al cierre de año</t>
  </si>
  <si>
    <t>Venta S/.</t>
  </si>
  <si>
    <t>Hans Mollesaca</t>
  </si>
  <si>
    <t>Not Started</t>
  </si>
  <si>
    <t>Reducir en un 44% el tiempo promedio de preparación y despacho para pedidos de delivery en el último trimestre.</t>
  </si>
  <si>
    <t>Tiempo de Prep</t>
  </si>
  <si>
    <t>Jose Carlos Fernández</t>
  </si>
  <si>
    <t>At Risk</t>
  </si>
  <si>
    <t>Alcanzar una disponibilidad (encendido) &gt; 90 %</t>
  </si>
  <si>
    <t>Disponibilidad Tienda</t>
  </si>
  <si>
    <t>On Track</t>
  </si>
  <si>
    <t>Key Result 2 description</t>
  </si>
  <si>
    <t>Introducción de Prime en complejos existentes (Florida y Dehesa)</t>
  </si>
  <si>
    <t>Área</t>
  </si>
  <si>
    <t>Operaciones</t>
  </si>
  <si>
    <t>|</t>
  </si>
  <si>
    <t>O1</t>
  </si>
  <si>
    <t>O2</t>
  </si>
  <si>
    <t>AA&amp;BB</t>
  </si>
  <si>
    <t>Q4 2025</t>
  </si>
  <si>
    <t>Q1 2026</t>
  </si>
  <si>
    <t>KR1</t>
  </si>
  <si>
    <t>KR2</t>
  </si>
  <si>
    <t>KR3</t>
  </si>
  <si>
    <t>Subir 5 soles al percap</t>
  </si>
  <si>
    <t>mejorar tiempos atención</t>
  </si>
  <si>
    <t>capacitar a todo el persona</t>
  </si>
  <si>
    <t>O3</t>
  </si>
  <si>
    <t>Descripción Key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</si>
</sst>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mm/dd/yy;@"/>
  </numFmts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1"/>
      <color theme="1"/>
      <name val="Calibri"/>
      <family val="2"/>
      <scheme val="minor"/>
    </font>
    <font>
      <sz val="16"/>
      <color theme="1"/>
      <name val="Century Gothic"/>
      <family val="2"/>
    </font>
    <font>
      <sz val="11"/>
      <color rgb="FF000000"/>
      <name val="Century Gothic"/>
      <family val="2"/>
    </font>
    <font>
      <sz val="10"/>
      <color theme="1"/>
      <name val="Century Gothic"/>
      <family val="2"/>
    </font>
    <font>
      <b/>
      <sz val="8"/>
      <color theme="1" tint="0.34998626667073579"/>
      <name val="Century Gothic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8D3EF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6" fillId="6" borderId="2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2" applyFont="1" applyBorder="1" applyAlignment="1">
      <alignment horizontal="center" vertical="center" wrapText="1"/>
    </xf>
    <xf numFmtId="0" fontId="8" fillId="2" borderId="0" xfId="0" quotePrefix="1" applyFont="1" applyFill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44" fontId="2" fillId="0" borderId="1" xfId="3" applyFont="1" applyBorder="1" applyAlignment="1">
      <alignment horizontal="center" vertical="center" wrapText="1"/>
    </xf>
    <xf numFmtId="21" fontId="0" fillId="0" borderId="0" xfId="0" applyNumberFormat="1"/>
  </cellXfs>
  <cellStyles count="4">
    <cellStyle name="Moneda" xfId="3" builtinId="4"/>
    <cellStyle name="Normal" xfId="0" builtinId="0"/>
    <cellStyle name="Normal 2" xfId="1" xr:uid="{D5D4E633-8ECD-A74A-B0F0-6993580870F8}"/>
    <cellStyle name="Porcentaje" xfId="2" builtinId="5"/>
  </cellStyles>
  <dxfs count="9">
    <dxf>
      <font>
        <color rgb="FF006100"/>
      </font>
      <fill>
        <patternFill>
          <bgColor rgb="FFC6EFCE"/>
        </patternFill>
      </fill>
    </dxf>
    <dxf>
      <fill>
        <patternFill>
          <bgColor rgb="FFC0D557"/>
        </patternFill>
      </fill>
    </dxf>
    <dxf>
      <fill>
        <patternFill>
          <bgColor rgb="FFEFE62D"/>
        </patternFill>
      </fill>
    </dxf>
    <dxf>
      <fill>
        <patternFill>
          <bgColor rgb="FFFF6600"/>
        </patternFill>
      </fill>
    </dxf>
    <dxf>
      <fill>
        <patternFill>
          <bgColor rgb="FF9BE7E0"/>
        </patternFill>
      </fill>
    </dxf>
    <dxf>
      <fill>
        <patternFill>
          <bgColor rgb="FFFF8989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EFE62D"/>
      <color rgb="FFB8D3EF"/>
      <color rgb="FFFF8989"/>
      <color rgb="FF9BE7E0"/>
      <color rgb="FFFF6600"/>
      <color rgb="FFC0D557"/>
      <color rgb="FFFF7C80"/>
      <color rgb="FFBCE659"/>
      <color rgb="FFEAEEF3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AF89-5CAF-4C4E-A2D7-BEE25CFFA877}">
  <sheetPr>
    <tabColor rgb="FFFF8989"/>
    <pageSetUpPr fitToPage="1"/>
  </sheetPr>
  <dimension ref="B2:Z10"/>
  <sheetViews>
    <sheetView showGridLines="0" tabSelected="1" topLeftCell="E1" zoomScale="85" zoomScaleNormal="85" workbookViewId="0">
      <pane ySplit="1" topLeftCell="A8" activePane="bottomLeft" state="frozen"/>
      <selection pane="bottomLeft" activeCell="O8" sqref="O8"/>
    </sheetView>
  </sheetViews>
  <sheetFormatPr baseColWidth="10" defaultColWidth="11" defaultRowHeight="15.75" x14ac:dyDescent="0.25"/>
  <cols>
    <col min="1" max="1" width="3.625" customWidth="1"/>
    <col min="2" max="2" width="11.625" customWidth="1"/>
    <col min="3" max="3" width="16" customWidth="1"/>
    <col min="4" max="4" width="11.625" customWidth="1"/>
    <col min="5" max="5" width="13.5" style="12" customWidth="1"/>
    <col min="6" max="6" width="8.25" style="12" customWidth="1"/>
    <col min="7" max="7" width="15.75" style="1" customWidth="1"/>
    <col min="8" max="8" width="35.625" style="1" customWidth="1"/>
    <col min="9" max="11" width="27.75" style="1" customWidth="1"/>
    <col min="12" max="15" width="15.625" style="1" customWidth="1"/>
    <col min="16" max="18" width="15.625" style="1" hidden="1" customWidth="1"/>
    <col min="19" max="19" width="15.625" style="1" customWidth="1"/>
    <col min="20" max="20" width="11.75" style="1" customWidth="1"/>
    <col min="21" max="21" width="35.625" style="2" customWidth="1"/>
    <col min="22" max="22" width="3.625" customWidth="1"/>
  </cols>
  <sheetData>
    <row r="2" spans="2:26" s="3" customFormat="1" ht="42" customHeight="1" x14ac:dyDescent="0.25">
      <c r="B2" s="4" t="s">
        <v>0</v>
      </c>
      <c r="C2" s="4"/>
      <c r="E2" s="13"/>
      <c r="F2" s="13"/>
      <c r="G2" s="4"/>
      <c r="H2" s="4"/>
      <c r="I2" s="4"/>
      <c r="J2" s="4"/>
      <c r="K2" s="4"/>
      <c r="L2" s="4" t="s">
        <v>40</v>
      </c>
      <c r="M2" s="4"/>
      <c r="N2" s="4"/>
      <c r="O2" s="4"/>
      <c r="P2" s="24" t="s">
        <v>1</v>
      </c>
      <c r="Q2" s="4"/>
      <c r="R2" s="18" t="s">
        <v>2</v>
      </c>
      <c r="S2" s="4"/>
      <c r="T2" s="4"/>
      <c r="U2" s="5"/>
    </row>
    <row r="3" spans="2:26" ht="34.5" customHeight="1" x14ac:dyDescent="0.25">
      <c r="B3" s="11" t="s">
        <v>3</v>
      </c>
      <c r="C3" s="11" t="s">
        <v>4</v>
      </c>
      <c r="D3" s="11" t="s">
        <v>5</v>
      </c>
      <c r="E3" s="10" t="s">
        <v>6</v>
      </c>
      <c r="F3" s="19" t="s">
        <v>8</v>
      </c>
      <c r="G3" s="9" t="s">
        <v>7</v>
      </c>
      <c r="H3" s="19" t="s">
        <v>53</v>
      </c>
      <c r="I3" s="10" t="s">
        <v>9</v>
      </c>
      <c r="J3" s="10" t="s">
        <v>10</v>
      </c>
      <c r="K3" s="10" t="s">
        <v>38</v>
      </c>
      <c r="L3" s="10" t="s">
        <v>11</v>
      </c>
      <c r="M3" s="10" t="s">
        <v>12</v>
      </c>
      <c r="N3" s="10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10" t="s">
        <v>20</v>
      </c>
    </row>
    <row r="4" spans="2:26" ht="35.1" customHeight="1" x14ac:dyDescent="0.25">
      <c r="B4" s="14" t="s">
        <v>44</v>
      </c>
      <c r="C4" s="20" t="s">
        <v>23</v>
      </c>
      <c r="D4" s="20" t="s">
        <v>24</v>
      </c>
      <c r="E4" s="21" t="s">
        <v>41</v>
      </c>
      <c r="F4" s="21" t="s">
        <v>46</v>
      </c>
      <c r="G4" s="15" t="str">
        <f>CONCATENATE(B4,".",E4,,".",F4)</f>
        <v>Q4 2025.O1.KR1</v>
      </c>
      <c r="H4" s="22" t="s">
        <v>25</v>
      </c>
      <c r="I4" s="22" t="s">
        <v>26</v>
      </c>
      <c r="J4" s="22" t="s">
        <v>27</v>
      </c>
      <c r="K4" s="15" t="s">
        <v>43</v>
      </c>
      <c r="L4" s="26">
        <v>4909721</v>
      </c>
      <c r="M4" s="26">
        <v>675000</v>
      </c>
      <c r="N4" s="26">
        <v>143900</v>
      </c>
      <c r="O4" s="23">
        <f>N4/M4</f>
        <v>0.21318518518518517</v>
      </c>
      <c r="P4" s="17">
        <f t="shared" ref="P4:P9" si="0">IFERROR(N4/M4,0)</f>
        <v>0.21318518518518517</v>
      </c>
      <c r="Q4" s="16">
        <v>0.33329999999999999</v>
      </c>
      <c r="R4" s="17">
        <f>(P4*Q4)/1</f>
        <v>7.1054622222222211E-2</v>
      </c>
      <c r="S4" s="8" t="s">
        <v>35</v>
      </c>
      <c r="T4" s="7">
        <v>46003</v>
      </c>
      <c r="U4" s="6"/>
    </row>
    <row r="5" spans="2:26" ht="35.1" customHeight="1" x14ac:dyDescent="0.25">
      <c r="B5" s="14" t="s">
        <v>44</v>
      </c>
      <c r="C5" s="20" t="s">
        <v>23</v>
      </c>
      <c r="D5" s="20" t="s">
        <v>24</v>
      </c>
      <c r="E5" s="21" t="s">
        <v>41</v>
      </c>
      <c r="F5" s="21" t="s">
        <v>47</v>
      </c>
      <c r="G5" s="15" t="str">
        <f t="shared" ref="G5:G9" si="1">CONCATENATE(B5,".",E5,,".",F5)</f>
        <v>Q4 2025.O1.KR2</v>
      </c>
      <c r="H5" s="22" t="s">
        <v>29</v>
      </c>
      <c r="I5" s="22" t="s">
        <v>30</v>
      </c>
      <c r="J5" s="22" t="s">
        <v>27</v>
      </c>
      <c r="K5" s="15" t="s">
        <v>43</v>
      </c>
      <c r="L5" s="25">
        <v>1.2500000000000001E-2</v>
      </c>
      <c r="M5" s="25">
        <v>6.9444444444444441E-3</v>
      </c>
      <c r="N5" s="25">
        <v>8.1944444444444452E-3</v>
      </c>
      <c r="O5" s="23">
        <f>((L5-M5)-(N5-M5))/(L5-M5)</f>
        <v>0.7749999999999998</v>
      </c>
      <c r="P5" s="17">
        <f t="shared" si="0"/>
        <v>1.1800000000000002</v>
      </c>
      <c r="Q5" s="16">
        <v>0.33329999999999999</v>
      </c>
      <c r="R5" s="17">
        <f t="shared" ref="R5:R9" si="2">P5*Q5</f>
        <v>0.39329400000000003</v>
      </c>
      <c r="S5" s="8" t="s">
        <v>35</v>
      </c>
      <c r="T5" s="7">
        <v>46003</v>
      </c>
      <c r="U5" s="6"/>
      <c r="X5" s="27"/>
    </row>
    <row r="6" spans="2:26" ht="35.1" customHeight="1" x14ac:dyDescent="0.25">
      <c r="B6" s="14" t="s">
        <v>44</v>
      </c>
      <c r="C6" s="20" t="s">
        <v>23</v>
      </c>
      <c r="D6" s="20" t="s">
        <v>24</v>
      </c>
      <c r="E6" s="21" t="s">
        <v>41</v>
      </c>
      <c r="F6" s="21" t="s">
        <v>48</v>
      </c>
      <c r="G6" s="15" t="str">
        <f t="shared" si="1"/>
        <v>Q4 2025.O1.KR3</v>
      </c>
      <c r="H6" s="22" t="s">
        <v>33</v>
      </c>
      <c r="I6" s="22" t="s">
        <v>34</v>
      </c>
      <c r="J6" s="22" t="s">
        <v>27</v>
      </c>
      <c r="K6" s="15" t="s">
        <v>43</v>
      </c>
      <c r="L6" s="23">
        <v>0.84</v>
      </c>
      <c r="M6" s="23">
        <v>0.9</v>
      </c>
      <c r="N6" s="23">
        <v>0.94599999999999995</v>
      </c>
      <c r="O6" s="23">
        <f>N6/M6</f>
        <v>1.0511111111111111</v>
      </c>
      <c r="P6" s="17">
        <f>IFERROR(N6/M6,0)</f>
        <v>1.0511111111111111</v>
      </c>
      <c r="Q6" s="16">
        <v>0.33329999999999999</v>
      </c>
      <c r="R6" s="17">
        <f t="shared" si="2"/>
        <v>0.35033533333333333</v>
      </c>
      <c r="S6" s="8" t="s">
        <v>22</v>
      </c>
      <c r="T6" s="7">
        <v>46003</v>
      </c>
      <c r="U6" s="6"/>
      <c r="X6" s="27"/>
      <c r="Y6" s="27"/>
    </row>
    <row r="7" spans="2:26" ht="35.1" customHeight="1" x14ac:dyDescent="0.25">
      <c r="B7" s="14" t="s">
        <v>45</v>
      </c>
      <c r="C7" s="20" t="s">
        <v>23</v>
      </c>
      <c r="D7" s="20" t="s">
        <v>37</v>
      </c>
      <c r="E7" s="21" t="s">
        <v>42</v>
      </c>
      <c r="F7" s="21" t="s">
        <v>46</v>
      </c>
      <c r="G7" s="15" t="str">
        <f t="shared" si="1"/>
        <v>Q1 2026.O2.KR1</v>
      </c>
      <c r="H7" s="22" t="s">
        <v>21</v>
      </c>
      <c r="I7" s="22" t="s">
        <v>49</v>
      </c>
      <c r="J7" s="22" t="s">
        <v>31</v>
      </c>
      <c r="K7" s="15" t="s">
        <v>39</v>
      </c>
      <c r="L7" s="26">
        <v>5</v>
      </c>
      <c r="M7" s="26">
        <v>5</v>
      </c>
      <c r="N7" s="26">
        <v>2</v>
      </c>
      <c r="O7" s="23">
        <f>N7/M7</f>
        <v>0.4</v>
      </c>
      <c r="P7" s="17">
        <f t="shared" si="0"/>
        <v>0.4</v>
      </c>
      <c r="Q7" s="16">
        <v>0</v>
      </c>
      <c r="R7" s="17">
        <f t="shared" si="2"/>
        <v>0</v>
      </c>
      <c r="S7" s="8" t="s">
        <v>35</v>
      </c>
      <c r="T7" s="7">
        <v>46003</v>
      </c>
      <c r="U7" s="6"/>
      <c r="X7" s="27"/>
      <c r="Y7" s="27"/>
      <c r="Z7" s="27"/>
    </row>
    <row r="8" spans="2:26" ht="35.1" customHeight="1" x14ac:dyDescent="0.25">
      <c r="B8" s="14" t="s">
        <v>45</v>
      </c>
      <c r="C8" s="20" t="s">
        <v>23</v>
      </c>
      <c r="D8" s="20" t="s">
        <v>37</v>
      </c>
      <c r="E8" s="21" t="s">
        <v>42</v>
      </c>
      <c r="F8" s="21" t="s">
        <v>47</v>
      </c>
      <c r="G8" s="15" t="str">
        <f t="shared" si="1"/>
        <v>Q1 2026.O2.KR2</v>
      </c>
      <c r="H8" s="22" t="s">
        <v>36</v>
      </c>
      <c r="I8" s="22" t="s">
        <v>50</v>
      </c>
      <c r="J8" s="22" t="s">
        <v>31</v>
      </c>
      <c r="K8" s="15" t="s">
        <v>39</v>
      </c>
      <c r="L8" s="25">
        <v>1.2500000000000001E-2</v>
      </c>
      <c r="M8" s="25">
        <v>1.0416666666666666E-2</v>
      </c>
      <c r="N8" s="25">
        <v>1.1805555555555555E-2</v>
      </c>
      <c r="O8" s="23">
        <f>((L8-M8)-(N8-M8))/(L8-M8)</f>
        <v>0.33333333333333359</v>
      </c>
      <c r="P8" s="17">
        <f t="shared" si="0"/>
        <v>1.1333333333333333</v>
      </c>
      <c r="Q8" s="16">
        <v>0</v>
      </c>
      <c r="R8" s="17">
        <f t="shared" si="2"/>
        <v>0</v>
      </c>
      <c r="S8" s="8" t="s">
        <v>32</v>
      </c>
      <c r="T8" s="7">
        <v>46003</v>
      </c>
      <c r="U8" s="6"/>
    </row>
    <row r="9" spans="2:26" ht="35.1" customHeight="1" x14ac:dyDescent="0.25">
      <c r="B9" s="14" t="s">
        <v>45</v>
      </c>
      <c r="C9" s="20" t="s">
        <v>23</v>
      </c>
      <c r="D9" s="20" t="s">
        <v>37</v>
      </c>
      <c r="E9" s="21" t="s">
        <v>52</v>
      </c>
      <c r="F9" s="21" t="s">
        <v>48</v>
      </c>
      <c r="G9" s="15" t="str">
        <f t="shared" si="1"/>
        <v>Q1 2026.O3.KR3</v>
      </c>
      <c r="H9" s="22" t="s">
        <v>21</v>
      </c>
      <c r="I9" s="22" t="s">
        <v>51</v>
      </c>
      <c r="J9" s="22" t="s">
        <v>31</v>
      </c>
      <c r="K9" s="15" t="s">
        <v>39</v>
      </c>
      <c r="L9" s="23">
        <v>0.8</v>
      </c>
      <c r="M9" s="23">
        <v>1</v>
      </c>
      <c r="N9" s="23">
        <v>0</v>
      </c>
      <c r="O9" s="23">
        <f>N9/M9</f>
        <v>0</v>
      </c>
      <c r="P9" s="17">
        <f t="shared" si="0"/>
        <v>0</v>
      </c>
      <c r="Q9" s="16">
        <v>0</v>
      </c>
      <c r="R9" s="17">
        <f t="shared" si="2"/>
        <v>0</v>
      </c>
      <c r="S9" s="8" t="s">
        <v>28</v>
      </c>
      <c r="T9" s="7"/>
      <c r="U9" s="6"/>
    </row>
    <row r="10" spans="2:26" x14ac:dyDescent="0.25">
      <c r="K10" s="15"/>
    </row>
  </sheetData>
  <phoneticPr fontId="1" type="noConversion"/>
  <conditionalFormatting sqref="O4:O9">
    <cfRule type="cellIs" dxfId="8" priority="2" operator="greaterThan">
      <formula>0</formula>
    </cfRule>
  </conditionalFormatting>
  <conditionalFormatting sqref="P4:R9">
    <cfRule type="cellIs" dxfId="7" priority="3" operator="greaterThanOrEqual">
      <formula>0.8</formula>
    </cfRule>
    <cfRule type="cellIs" dxfId="6" priority="4" operator="between">
      <formula>0.5</formula>
      <formula>0.79</formula>
    </cfRule>
    <cfRule type="cellIs" dxfId="5" priority="5" operator="lessThan">
      <formula>0.5</formula>
    </cfRule>
  </conditionalFormatting>
  <conditionalFormatting sqref="S4:S9">
    <cfRule type="containsText" dxfId="4" priority="6" operator="containsText" text="Complete">
      <formula>NOT(ISERROR(SEARCH("Complete",S4)))</formula>
    </cfRule>
    <cfRule type="containsText" dxfId="3" priority="7" operator="containsText" text="Not Started">
      <formula>NOT(ISERROR(SEARCH("Not Started",S4)))</formula>
    </cfRule>
    <cfRule type="containsText" dxfId="2" priority="8" operator="containsText" text="At Risk">
      <formula>NOT(ISERROR(SEARCH("At Risk",S4)))</formula>
    </cfRule>
    <cfRule type="containsText" dxfId="1" priority="9" operator="containsText" text="On Track">
      <formula>NOT(ISERROR(SEARCH("On Track",S4)))</formula>
    </cfRule>
  </conditionalFormatting>
  <conditionalFormatting sqref="T5">
    <cfRule type="cellIs" dxfId="0" priority="1" operator="greaterThan">
      <formula>0</formula>
    </cfRule>
  </conditionalFormatting>
  <dataValidations count="1">
    <dataValidation type="list" allowBlank="1" showInputMessage="1" showErrorMessage="1" sqref="S4:S9 J4:J9 C4:D9" xr:uid="{266CB69E-970A-4E3F-B023-7CA3E6DEDD31}">
      <formula1>#REF!</formula1>
    </dataValidation>
  </dataValidations>
  <pageMargins left="0.4" right="0.4" top="0.4" bottom="0.4" header="0" footer="0"/>
  <pageSetup scale="42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OKR Log</vt:lpstr>
      <vt:lpstr>'OKR Log'!Área_de_impresión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fernando alexander urlich espinoza</cp:lastModifiedBy>
  <cp:revision/>
  <dcterms:created xsi:type="dcterms:W3CDTF">2015-10-16T18:32:25Z</dcterms:created>
  <dcterms:modified xsi:type="dcterms:W3CDTF">2025-12-17T03:33:03Z</dcterms:modified>
  <cp:category/>
  <cp:contentStatus/>
</cp:coreProperties>
</file>